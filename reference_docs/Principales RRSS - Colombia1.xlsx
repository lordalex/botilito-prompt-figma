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0" yWindow="0" windowWidth="16380" windowHeight="8190" tabRatio="431"/>
  </bookViews>
  <sheets>
    <sheet name="Propuesta de Codificacion" sheetId="4" r:id="rId1"/>
    <sheet name="MEDIA TRADICIONAL" sheetId="1" r:id="rId2"/>
    <sheet name="RRSS" sheetId="3" r:id="rId3"/>
  </sheets>
  <calcPr calcId="124519"/>
</workbook>
</file>

<file path=xl/calcChain.xml><?xml version="1.0" encoding="utf-8"?>
<calcChain xmlns="http://schemas.openxmlformats.org/spreadsheetml/2006/main">
  <c r="H3" i="4"/>
  <c r="I35" i="3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3"/>
  <c r="I4"/>
  <c r="I5"/>
  <c r="I6"/>
  <c r="I7"/>
  <c r="I8"/>
  <c r="I9"/>
  <c r="I10"/>
  <c r="I11"/>
</calcChain>
</file>

<file path=xl/sharedStrings.xml><?xml version="1.0" encoding="utf-8"?>
<sst xmlns="http://schemas.openxmlformats.org/spreadsheetml/2006/main" count="258" uniqueCount="226">
  <si>
    <t>Media</t>
  </si>
  <si>
    <t>La Prensa</t>
  </si>
  <si>
    <t>laprensa.com.co</t>
  </si>
  <si>
    <t>El Rionegrero</t>
  </si>
  <si>
    <t>elrionegrero.com</t>
  </si>
  <si>
    <t>La Voz</t>
  </si>
  <si>
    <t>lavoz.com.co</t>
  </si>
  <si>
    <t>Sucre Noticias</t>
  </si>
  <si>
    <t>sucrenoticias.com</t>
  </si>
  <si>
    <t>Mi Diario</t>
  </si>
  <si>
    <t>midiario.co</t>
  </si>
  <si>
    <t>Latitud 435</t>
  </si>
  <si>
    <t>latitud435.com</t>
  </si>
  <si>
    <t>Llano Al Mundo</t>
  </si>
  <si>
    <t>llanoalmundo.com</t>
  </si>
  <si>
    <t>El Manduco</t>
  </si>
  <si>
    <t>elmanduco.com.co</t>
  </si>
  <si>
    <t>El Pulso Caribe</t>
  </si>
  <si>
    <t>elpulsocaribe.com</t>
  </si>
  <si>
    <t>Guajira Gráfica</t>
  </si>
  <si>
    <t>guajiragrafica.net</t>
  </si>
  <si>
    <t>A La Luz Pública</t>
  </si>
  <si>
    <t>alaluzpublica.com</t>
  </si>
  <si>
    <t>Magangue Hoy</t>
  </si>
  <si>
    <t>maganguehoy.co</t>
  </si>
  <si>
    <t>180 Grados Quindio</t>
  </si>
  <si>
    <t>180grados.digital</t>
  </si>
  <si>
    <t>Así Es Cúcuta</t>
  </si>
  <si>
    <t>asiescucuta.com</t>
  </si>
  <si>
    <t>Llano Siete Días</t>
  </si>
  <si>
    <t>llanosietedias.com</t>
  </si>
  <si>
    <t>La Campana</t>
  </si>
  <si>
    <t>periodicolacampana.com</t>
  </si>
  <si>
    <t>El Expreso</t>
  </si>
  <si>
    <t>elexpreso.co</t>
  </si>
  <si>
    <t>El Palpitar</t>
  </si>
  <si>
    <t>elpalpitar.com</t>
  </si>
  <si>
    <t>Interpolítico</t>
  </si>
  <si>
    <t>interpolitico.com</t>
  </si>
  <si>
    <t>Hora 7/24</t>
  </si>
  <si>
    <t>hora724.com</t>
  </si>
  <si>
    <t>Risaralda Hoy</t>
  </si>
  <si>
    <t>risaraldahoy.com</t>
  </si>
  <si>
    <t>La Guajira</t>
  </si>
  <si>
    <t>periodicolaguajira.com</t>
  </si>
  <si>
    <t>The Archipiélago Press</t>
  </si>
  <si>
    <t>thearchipielagopress.co</t>
  </si>
  <si>
    <t>El Bolivarense</t>
  </si>
  <si>
    <t>bolivarense.com</t>
  </si>
  <si>
    <t>Periódico Virtual</t>
  </si>
  <si>
    <t>periodicovirtual.com</t>
  </si>
  <si>
    <t>Noticiero Del Llano</t>
  </si>
  <si>
    <t>noticierodelllano.com</t>
  </si>
  <si>
    <t>Soy De Buenaventura</t>
  </si>
  <si>
    <t>soydebuenaventura.com</t>
  </si>
  <si>
    <t>El Nuevo Liberal</t>
  </si>
  <si>
    <t>elnuevoliberal.com</t>
  </si>
  <si>
    <t>Santa Marta Al Día</t>
  </si>
  <si>
    <t>santamartaaldia.co</t>
  </si>
  <si>
    <t>Diario Del Cesar</t>
  </si>
  <si>
    <t>diariodelcesar.com</t>
  </si>
  <si>
    <t>El Diario</t>
  </si>
  <si>
    <t>periodicoeldiario.com</t>
  </si>
  <si>
    <t>La Guajira Hoy</t>
  </si>
  <si>
    <t>laguajirahoy.com</t>
  </si>
  <si>
    <t>El Olfato</t>
  </si>
  <si>
    <t>elolfato.com</t>
  </si>
  <si>
    <t>Diario Del Cauca</t>
  </si>
  <si>
    <t>diariodelcauca.com.co</t>
  </si>
  <si>
    <t>Desde Abajo</t>
  </si>
  <si>
    <t>desdeabajo.info</t>
  </si>
  <si>
    <t>Periódico Del Meta</t>
  </si>
  <si>
    <t>periodicodelmeta.com</t>
  </si>
  <si>
    <t>La Piragua</t>
  </si>
  <si>
    <t>lapiragua.co</t>
  </si>
  <si>
    <t>El País Vallenato</t>
  </si>
  <si>
    <t>elpaisvallenato.com</t>
  </si>
  <si>
    <t>La Razón</t>
  </si>
  <si>
    <t>larazon.co</t>
  </si>
  <si>
    <t>El Frente</t>
  </si>
  <si>
    <t>elfrente.com.co</t>
  </si>
  <si>
    <t>Q'Hubo Cali</t>
  </si>
  <si>
    <t>qhubocali.com</t>
  </si>
  <si>
    <t>Periodismo Público</t>
  </si>
  <si>
    <t>periodismopublico.com</t>
  </si>
  <si>
    <t>La Libertad</t>
  </si>
  <si>
    <t>diariolalibertad.com</t>
  </si>
  <si>
    <t>Q'Hubo</t>
  </si>
  <si>
    <t>qhubo.com</t>
  </si>
  <si>
    <t>Al Día</t>
  </si>
  <si>
    <t>aldia.co</t>
  </si>
  <si>
    <t>Seguimiento</t>
  </si>
  <si>
    <t>seguimiento.co</t>
  </si>
  <si>
    <t>Opanoticias</t>
  </si>
  <si>
    <t>opanoticias.com</t>
  </si>
  <si>
    <t>El Quindiano</t>
  </si>
  <si>
    <t>elquindiano.com</t>
  </si>
  <si>
    <t>El Meridiano De Sucre</t>
  </si>
  <si>
    <t>elmeridiano.co</t>
  </si>
  <si>
    <t>Diario Del Norte</t>
  </si>
  <si>
    <t>diariodelnorte.net</t>
  </si>
  <si>
    <t>Diario Del Sur</t>
  </si>
  <si>
    <t>diariodelsur.com.co</t>
  </si>
  <si>
    <t>Confidencial Colombia</t>
  </si>
  <si>
    <t>confidencialcolombia.com</t>
  </si>
  <si>
    <t>EXTRA</t>
  </si>
  <si>
    <t>extra.com.co</t>
  </si>
  <si>
    <t>EJE21</t>
  </si>
  <si>
    <t>eje21.com.co</t>
  </si>
  <si>
    <t>90 Minutos</t>
  </si>
  <si>
    <t>90minutos.co</t>
  </si>
  <si>
    <t>Diario Occidente</t>
  </si>
  <si>
    <t>occidente.co</t>
  </si>
  <si>
    <t>El Informador</t>
  </si>
  <si>
    <t>elinformador.com.co</t>
  </si>
  <si>
    <t>La Nación</t>
  </si>
  <si>
    <t>lanacion.com.co</t>
  </si>
  <si>
    <t>Hoy Diario Del Magdalena</t>
  </si>
  <si>
    <t>hoydiariodelmagdalena.com.co</t>
  </si>
  <si>
    <t>El Pilón</t>
  </si>
  <si>
    <t>elpilon.com.co</t>
  </si>
  <si>
    <t>Zona Cero</t>
  </si>
  <si>
    <t>zonacero.com</t>
  </si>
  <si>
    <t>ADN</t>
  </si>
  <si>
    <t>diarioadn.co</t>
  </si>
  <si>
    <t>Minuto 30</t>
  </si>
  <si>
    <t>minuto30.com</t>
  </si>
  <si>
    <t>eldiario.com.co</t>
  </si>
  <si>
    <t>Diario Del Huila</t>
  </si>
  <si>
    <t>diariodelhuila.com</t>
  </si>
  <si>
    <t>Las 2 Orillas</t>
  </si>
  <si>
    <t>las2orillas.co</t>
  </si>
  <si>
    <t>Publimetro</t>
  </si>
  <si>
    <t>publimetro.co</t>
  </si>
  <si>
    <t>El Nuevo Siglo</t>
  </si>
  <si>
    <t>elnuevosiglo.com.co</t>
  </si>
  <si>
    <t>La Crónica Del Quindio</t>
  </si>
  <si>
    <t>cronicadelquindio.com</t>
  </si>
  <si>
    <t>El Mundo</t>
  </si>
  <si>
    <t>elmundo.com</t>
  </si>
  <si>
    <t>El Nuevo Día</t>
  </si>
  <si>
    <t>elnuevodia.com.co</t>
  </si>
  <si>
    <t>La Opinión</t>
  </si>
  <si>
    <t>laopinion.com.co</t>
  </si>
  <si>
    <t>Pulzo</t>
  </si>
  <si>
    <t>pulzo.com</t>
  </si>
  <si>
    <t>La Patria</t>
  </si>
  <si>
    <t>lapatria.com</t>
  </si>
  <si>
    <t>El Colombiano</t>
  </si>
  <si>
    <t>elcolombiano.com</t>
  </si>
  <si>
    <t>El País</t>
  </si>
  <si>
    <t>elpais.com.co</t>
  </si>
  <si>
    <t>Vanguardia Liberal</t>
  </si>
  <si>
    <t>vanguardia.com</t>
  </si>
  <si>
    <t>El Universal</t>
  </si>
  <si>
    <t>eluniversal.com.co</t>
  </si>
  <si>
    <t>El Heraldo</t>
  </si>
  <si>
    <t>elheraldo.co</t>
  </si>
  <si>
    <t>Semana</t>
  </si>
  <si>
    <t>semana.com</t>
  </si>
  <si>
    <t>El Espectador</t>
  </si>
  <si>
    <t>elespectador.com</t>
  </si>
  <si>
    <t>El Tiempo</t>
  </si>
  <si>
    <t>eltiempo.com</t>
  </si>
  <si>
    <t>Fuente: https://www.scimagomedia.com/</t>
  </si>
  <si>
    <t>Dominio</t>
  </si>
  <si>
    <t>Ranking Global</t>
  </si>
  <si>
    <t>Ranking 
Nacional</t>
  </si>
  <si>
    <t>ID</t>
  </si>
  <si>
    <t>Youtube</t>
  </si>
  <si>
    <t>Facebook</t>
  </si>
  <si>
    <t>Instagram</t>
  </si>
  <si>
    <t>Twitter</t>
  </si>
  <si>
    <t>Tik Tok</t>
  </si>
  <si>
    <t>Levy Rincón</t>
  </si>
  <si>
    <t>Alejandro Vergel</t>
  </si>
  <si>
    <t>Daniela Beltrán</t>
  </si>
  <si>
    <t>Camilo Pardo</t>
  </si>
  <si>
    <t>Daniel Samper Ospina</t>
  </si>
  <si>
    <t>Alejandro Riaño</t>
  </si>
  <si>
    <t>Franklin Humberto Coral</t>
  </si>
  <si>
    <t>Seguidores</t>
  </si>
  <si>
    <t>Walter Rodríguez</t>
  </si>
  <si>
    <t>Maria Paulina Baena y Juan Carlos Rincón</t>
  </si>
  <si>
    <t>TOTAL</t>
  </si>
  <si>
    <t>Mario Muñoz</t>
  </si>
  <si>
    <t>X (Twitter)</t>
  </si>
  <si>
    <t>Augusto Ocampo</t>
  </si>
  <si>
    <t>Margarita Rosa de Francisco</t>
  </si>
  <si>
    <t>Adriana Lucía</t>
  </si>
  <si>
    <t>Sara Tufano</t>
  </si>
  <si>
    <t>Mafe Carrascal</t>
  </si>
  <si>
    <t>Natalia Bedoya</t>
  </si>
  <si>
    <t>Laura Medina Ruiz</t>
  </si>
  <si>
    <t>Juan Camilo Caicedo</t>
  </si>
  <si>
    <t>Julián Roman</t>
  </si>
  <si>
    <t>TikTok</t>
  </si>
  <si>
    <t>Juan Carlos Rincón Escalante</t>
  </si>
  <si>
    <t>Jessica Blancox</t>
  </si>
  <si>
    <t>Eco.aneko</t>
  </si>
  <si>
    <t>Laura Camila Vargas</t>
  </si>
  <si>
    <t>Germán Ricaurte</t>
  </si>
  <si>
    <t>Guillermo Prieto</t>
  </si>
  <si>
    <t>Miguel Polo Polo</t>
  </si>
  <si>
    <t>Oswaldo Ortiz</t>
  </si>
  <si>
    <t>Mauricio Marulanda</t>
  </si>
  <si>
    <t>Camilo Prieto</t>
  </si>
  <si>
    <t>Jota Pe Hernández</t>
  </si>
  <si>
    <t>Leonardo Cuervo</t>
  </si>
  <si>
    <t>Santiago Alarcón</t>
  </si>
  <si>
    <t>Willfrank Arango</t>
  </si>
  <si>
    <t>Principal 
RRSS</t>
  </si>
  <si>
    <t>IA</t>
  </si>
  <si>
    <t>000001</t>
  </si>
  <si>
    <t>DETECTOR.</t>
  </si>
  <si>
    <t>RED SOCIAL.</t>
  </si>
  <si>
    <t>ETIQUETA.</t>
  </si>
  <si>
    <t>CÓDIGO</t>
  </si>
  <si>
    <t>Fa</t>
  </si>
  <si>
    <t>Ve</t>
  </si>
  <si>
    <t>Personaje</t>
  </si>
  <si>
    <t>NÚMERO CORRELATIVO</t>
  </si>
  <si>
    <t>INTERPRETACIÓN</t>
  </si>
  <si>
    <t>FUENTE</t>
  </si>
  <si>
    <t>Tx</t>
  </si>
  <si>
    <t>Inteligencia Artificial, Facebook,Texto, Verdadera, 000001.</t>
  </si>
</sst>
</file>

<file path=xl/styles.xml><?xml version="1.0" encoding="utf-8"?>
<styleSheet xmlns="http://schemas.openxmlformats.org/spreadsheetml/2006/main">
  <fonts count="9">
    <font>
      <sz val="10"/>
      <name val="Arial"/>
      <family val="2"/>
      <charset val="1"/>
    </font>
    <font>
      <sz val="10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b/>
      <sz val="11"/>
      <color theme="3" tint="0.39997558519241921"/>
      <name val="Arial"/>
      <family val="2"/>
    </font>
    <font>
      <sz val="14"/>
      <name val="Arial"/>
      <family val="2"/>
      <charset val="1"/>
    </font>
    <font>
      <b/>
      <sz val="14"/>
      <name val="Arial"/>
      <family val="2"/>
      <charset val="1"/>
    </font>
    <font>
      <b/>
      <sz val="14"/>
      <color theme="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Continuous"/>
    </xf>
    <xf numFmtId="0" fontId="2" fillId="0" borderId="0" xfId="0" applyFont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Continuous"/>
    </xf>
    <xf numFmtId="0" fontId="3" fillId="0" borderId="5" xfId="0" applyFont="1" applyBorder="1" applyAlignment="1">
      <alignment horizontal="centerContinuous"/>
    </xf>
    <xf numFmtId="0" fontId="0" fillId="0" borderId="6" xfId="0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0" fillId="0" borderId="5" xfId="0" applyBorder="1"/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2" xfId="0" applyBorder="1"/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7" borderId="14" xfId="0" applyFill="1" applyBorder="1"/>
    <xf numFmtId="0" fontId="0" fillId="7" borderId="15" xfId="0" applyFill="1" applyBorder="1"/>
    <xf numFmtId="0" fontId="0" fillId="0" borderId="15" xfId="0" applyBorder="1"/>
    <xf numFmtId="0" fontId="0" fillId="7" borderId="17" xfId="0" applyFill="1" applyBorder="1"/>
    <xf numFmtId="0" fontId="0" fillId="7" borderId="0" xfId="0" applyFill="1" applyBorder="1"/>
    <xf numFmtId="0" fontId="5" fillId="7" borderId="17" xfId="0" applyFont="1" applyFill="1" applyBorder="1"/>
    <xf numFmtId="0" fontId="5" fillId="7" borderId="0" xfId="0" applyFont="1" applyFill="1" applyBorder="1"/>
    <xf numFmtId="0" fontId="5" fillId="7" borderId="19" xfId="0" applyFont="1" applyFill="1" applyBorder="1"/>
    <xf numFmtId="0" fontId="5" fillId="7" borderId="20" xfId="0" applyFont="1" applyFill="1" applyBorder="1"/>
    <xf numFmtId="0" fontId="0" fillId="7" borderId="20" xfId="0" applyFill="1" applyBorder="1"/>
    <xf numFmtId="0" fontId="0" fillId="7" borderId="16" xfId="0" applyFill="1" applyBorder="1"/>
    <xf numFmtId="0" fontId="0" fillId="7" borderId="18" xfId="0" applyFill="1" applyBorder="1"/>
    <xf numFmtId="0" fontId="0" fillId="7" borderId="21" xfId="0" applyFill="1" applyBorder="1"/>
    <xf numFmtId="0" fontId="5" fillId="4" borderId="22" xfId="0" applyFont="1" applyFill="1" applyBorder="1"/>
    <xf numFmtId="0" fontId="6" fillId="2" borderId="22" xfId="0" applyFont="1" applyFill="1" applyBorder="1" applyAlignment="1">
      <alignment horizontal="center" vertical="center"/>
    </xf>
    <xf numFmtId="0" fontId="5" fillId="3" borderId="22" xfId="0" applyFont="1" applyFill="1" applyBorder="1"/>
    <xf numFmtId="49" fontId="5" fillId="5" borderId="22" xfId="0" applyNumberFormat="1" applyFont="1" applyFill="1" applyBorder="1"/>
    <xf numFmtId="0" fontId="5" fillId="5" borderId="23" xfId="0" applyFont="1" applyFill="1" applyBorder="1"/>
    <xf numFmtId="0" fontId="5" fillId="5" borderId="24" xfId="0" applyFont="1" applyFill="1" applyBorder="1"/>
    <xf numFmtId="0" fontId="5" fillId="5" borderId="25" xfId="0" applyFont="1" applyFill="1" applyBorder="1"/>
    <xf numFmtId="0" fontId="5" fillId="5" borderId="26" xfId="0" applyFont="1" applyFill="1" applyBorder="1"/>
    <xf numFmtId="0" fontId="5" fillId="5" borderId="28" xfId="0" applyFont="1" applyFill="1" applyBorder="1"/>
    <xf numFmtId="0" fontId="5" fillId="3" borderId="25" xfId="0" applyFont="1" applyFill="1" applyBorder="1"/>
    <xf numFmtId="0" fontId="5" fillId="3" borderId="28" xfId="0" applyFont="1" applyFill="1" applyBorder="1"/>
    <xf numFmtId="0" fontId="5" fillId="3" borderId="26" xfId="0" applyFont="1" applyFill="1" applyBorder="1"/>
    <xf numFmtId="0" fontId="5" fillId="2" borderId="23" xfId="0" applyFont="1" applyFill="1" applyBorder="1" applyAlignment="1">
      <alignment horizontal="center" vertical="center"/>
    </xf>
    <xf numFmtId="0" fontId="5" fillId="2" borderId="25" xfId="0" applyFont="1" applyFill="1" applyBorder="1"/>
    <xf numFmtId="0" fontId="5" fillId="2" borderId="26" xfId="0" applyFont="1" applyFill="1" applyBorder="1" applyAlignment="1">
      <alignment horizontal="center" vertical="center"/>
    </xf>
    <xf numFmtId="0" fontId="5" fillId="4" borderId="25" xfId="0" applyFont="1" applyFill="1" applyBorder="1"/>
    <xf numFmtId="0" fontId="5" fillId="4" borderId="27" xfId="0" applyFont="1" applyFill="1" applyBorder="1"/>
    <xf numFmtId="0" fontId="5" fillId="3" borderId="30" xfId="0" applyFont="1" applyFill="1" applyBorder="1"/>
    <xf numFmtId="0" fontId="5" fillId="2" borderId="30" xfId="0" applyFont="1" applyFill="1" applyBorder="1" applyAlignment="1">
      <alignment horizontal="center" vertical="center"/>
    </xf>
    <xf numFmtId="0" fontId="5" fillId="3" borderId="29" xfId="0" applyFont="1" applyFill="1" applyBorder="1"/>
    <xf numFmtId="0" fontId="5" fillId="2" borderId="31" xfId="0" applyFont="1" applyFill="1" applyBorder="1" applyAlignment="1">
      <alignment horizontal="center" vertical="center"/>
    </xf>
    <xf numFmtId="0" fontId="5" fillId="3" borderId="32" xfId="0" applyFont="1" applyFill="1" applyBorder="1"/>
    <xf numFmtId="0" fontId="5" fillId="2" borderId="24" xfId="0" applyFont="1" applyFill="1" applyBorder="1" applyAlignment="1">
      <alignment horizontal="center" vertical="center"/>
    </xf>
    <xf numFmtId="0" fontId="5" fillId="2" borderId="28" xfId="0" applyFont="1" applyFill="1" applyBorder="1"/>
    <xf numFmtId="0" fontId="5" fillId="5" borderId="27" xfId="0" applyFont="1" applyFill="1" applyBorder="1"/>
  </cellXfs>
  <cellStyles count="1">
    <cellStyle name="Normal" xfId="0" builtinId="0"/>
  </cellStyles>
  <dxfs count="15">
    <dxf>
      <numFmt numFmtId="3" formatCode="#,##0"/>
      <alignment horizontal="center" vertical="center" textRotation="0" wrapText="0" indent="0" relativeIndent="255" justifyLastLine="0" shrinkToFit="0" mergeCell="0" readingOrder="0"/>
    </dxf>
    <dxf>
      <numFmt numFmtId="3" formatCode="#,##0"/>
      <alignment horizontal="center" vertical="center" textRotation="0" wrapText="0" indent="0" relativeIndent="255" justifyLastLine="0" shrinkToFit="0" mergeCell="0" readingOrder="0"/>
    </dxf>
    <dxf>
      <numFmt numFmtId="3" formatCode="#,##0"/>
      <alignment horizontal="center" vertical="center" textRotation="0" wrapText="0" indent="0" relativeIndent="255" justifyLastLine="0" shrinkToFit="0" mergeCell="0" readingOrder="0"/>
    </dxf>
    <dxf>
      <numFmt numFmtId="3" formatCode="#,##0"/>
      <alignment horizontal="center" vertical="center" textRotation="0" wrapText="0" indent="0" relativeIndent="255" justifyLastLine="0" shrinkToFit="0" mergeCell="0" readingOrder="0"/>
    </dxf>
    <dxf>
      <numFmt numFmtId="3" formatCode="#,##0"/>
      <alignment horizontal="center" vertical="center" textRotation="0" wrapText="0" indent="0" relativeIndent="255" justifyLastLine="0" shrinkToFit="0" mergeCell="0" readingOrder="0"/>
    </dxf>
    <dxf>
      <numFmt numFmtId="3" formatCode="#,##0"/>
      <alignment horizontal="center" vertical="center" textRotation="0" wrapText="0" indent="0" relativeIndent="255" justifyLastLine="0" shrinkToFit="0" mergeCell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relativeIndent="255" justifyLastLine="0" shrinkToFit="0" mergeCell="0" readingOrder="0"/>
    </dxf>
    <dxf>
      <border>
        <bottom style="thick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auto="1"/>
        <name val="Tahoma"/>
        <scheme val="none"/>
      </font>
      <alignment horizontal="center" vertical="center" textRotation="0" wrapText="0" indent="0" relativeIndent="255" justifyLastLine="0" shrinkToFit="0" mergeCell="0" readingOrder="0"/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ahom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ahoma"/>
        <scheme val="none"/>
      </font>
    </dxf>
    <dxf>
      <font>
        <strike val="0"/>
        <outline val="0"/>
        <shadow val="0"/>
        <u val="none"/>
        <vertAlign val="baseline"/>
        <sz val="10"/>
        <color auto="1"/>
        <name val="Tahoma"/>
        <scheme val="none"/>
      </font>
      <alignment horizontal="center" vertical="center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0"/>
        <color auto="1"/>
        <name val="Tahoma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ahoma"/>
        <scheme val="none"/>
      </font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83" totalsRowShown="0" headerRowDxfId="14" dataDxfId="13">
  <sortState ref="A2:I83">
    <sortCondition ref="D2:D83"/>
  </sortState>
  <tableColumns count="4">
    <tableColumn id="1" name="Ranking &#10;Nacional" dataDxfId="12"/>
    <tableColumn id="9" name="Media" dataDxfId="11"/>
    <tableColumn id="2" name="Dominio" dataDxfId="10"/>
    <tableColumn id="7" name="Ranking Global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I35" totalsRowShown="0" headerRowDxfId="8" headerRowBorderDxfId="7">
  <tableColumns count="9">
    <tableColumn id="1" name="ID" dataDxfId="6"/>
    <tableColumn id="2" name="Personaje"/>
    <tableColumn id="8" name="Principal &#10;RRSS"/>
    <tableColumn id="3" name="Youtube" dataDxfId="5"/>
    <tableColumn id="4" name="Facebook" dataDxfId="4"/>
    <tableColumn id="5" name="Instagram" dataDxfId="3"/>
    <tableColumn id="6" name="Twitter" dataDxfId="2"/>
    <tableColumn id="7" name="Tik Tok" dataDxfId="1"/>
    <tableColumn id="9" name="TOTAL" dataDxfId="0">
      <calculatedColumnFormula>SUM(Table2[[#This Row],[Youtube]:[Tik Tok]])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H14" sqref="H14"/>
    </sheetView>
  </sheetViews>
  <sheetFormatPr defaultRowHeight="12.75"/>
  <cols>
    <col min="1" max="1" width="34.7109375" bestFit="1" customWidth="1"/>
    <col min="2" max="2" width="4" bestFit="1" customWidth="1"/>
    <col min="3" max="3" width="4.5703125" bestFit="1" customWidth="1"/>
    <col min="4" max="4" width="4.5703125" customWidth="1"/>
    <col min="5" max="5" width="4.7109375" bestFit="1" customWidth="1"/>
    <col min="6" max="6" width="10.7109375" bestFit="1" customWidth="1"/>
    <col min="8" max="8" width="23.42578125" bestFit="1" customWidth="1"/>
    <col min="9" max="9" width="74.140625" bestFit="1" customWidth="1"/>
    <col min="10" max="10" width="2.5703125" customWidth="1"/>
    <col min="11" max="11" width="3.5703125" customWidth="1"/>
  </cols>
  <sheetData>
    <row r="1" spans="1:10" ht="14.25" thickTop="1" thickBot="1">
      <c r="A1" s="28"/>
      <c r="B1" s="29"/>
      <c r="C1" s="29"/>
      <c r="D1" s="29"/>
      <c r="E1" s="29"/>
      <c r="F1" s="29"/>
      <c r="G1" s="29"/>
      <c r="H1" s="30"/>
      <c r="I1" s="29"/>
      <c r="J1" s="38"/>
    </row>
    <row r="2" spans="1:10" ht="19.5" thickTop="1" thickBot="1">
      <c r="A2" s="31"/>
      <c r="B2" s="32"/>
      <c r="C2" s="32"/>
      <c r="D2" s="32"/>
      <c r="E2" s="32"/>
      <c r="F2" s="32"/>
      <c r="G2" s="32"/>
      <c r="H2" s="17" t="s">
        <v>217</v>
      </c>
      <c r="I2" s="17" t="s">
        <v>222</v>
      </c>
      <c r="J2" s="39"/>
    </row>
    <row r="3" spans="1:10" ht="18.75" thickBot="1">
      <c r="A3" s="33"/>
      <c r="B3" s="41" t="s">
        <v>212</v>
      </c>
      <c r="C3" s="42" t="s">
        <v>218</v>
      </c>
      <c r="D3" s="42" t="s">
        <v>224</v>
      </c>
      <c r="E3" s="43" t="s">
        <v>219</v>
      </c>
      <c r="F3" s="44" t="s">
        <v>213</v>
      </c>
      <c r="G3" s="34"/>
      <c r="H3" s="16" t="str">
        <f>CONCATENATE(B3,C3,D3,E3,F3)</f>
        <v>IAFaTxVe000001</v>
      </c>
      <c r="I3" s="16" t="s">
        <v>225</v>
      </c>
      <c r="J3" s="39"/>
    </row>
    <row r="4" spans="1:10" ht="18.75" thickBot="1">
      <c r="A4" s="56" t="s">
        <v>214</v>
      </c>
      <c r="B4" s="57"/>
      <c r="C4" s="61"/>
      <c r="D4" s="53"/>
      <c r="E4" s="62"/>
      <c r="F4" s="45"/>
      <c r="G4" s="34"/>
      <c r="H4" s="34"/>
      <c r="I4" s="32"/>
      <c r="J4" s="39"/>
    </row>
    <row r="5" spans="1:10" ht="18.75" thickBot="1">
      <c r="A5" s="54" t="s">
        <v>215</v>
      </c>
      <c r="B5" s="64"/>
      <c r="C5" s="55"/>
      <c r="D5" s="63"/>
      <c r="E5" s="60"/>
      <c r="F5" s="46"/>
      <c r="G5" s="34"/>
      <c r="H5" s="34"/>
      <c r="I5" s="32"/>
      <c r="J5" s="39"/>
    </row>
    <row r="6" spans="1:10" ht="18.75" thickBot="1">
      <c r="A6" s="54" t="s">
        <v>223</v>
      </c>
      <c r="B6" s="64"/>
      <c r="C6" s="59"/>
      <c r="D6" s="55"/>
      <c r="E6" s="60"/>
      <c r="F6" s="46"/>
      <c r="G6" s="34"/>
      <c r="H6" s="34"/>
      <c r="I6" s="32"/>
      <c r="J6" s="39"/>
    </row>
    <row r="7" spans="1:10" ht="18.75" thickBot="1">
      <c r="A7" s="50" t="s">
        <v>216</v>
      </c>
      <c r="B7" s="51"/>
      <c r="C7" s="51"/>
      <c r="D7" s="58"/>
      <c r="E7" s="52"/>
      <c r="F7" s="46"/>
      <c r="G7" s="34"/>
      <c r="H7" s="34"/>
      <c r="I7" s="32"/>
      <c r="J7" s="39"/>
    </row>
    <row r="8" spans="1:10" ht="18.75" thickBot="1">
      <c r="A8" s="47" t="s">
        <v>221</v>
      </c>
      <c r="B8" s="49"/>
      <c r="C8" s="49"/>
      <c r="D8" s="49"/>
      <c r="E8" s="65"/>
      <c r="F8" s="48"/>
      <c r="G8" s="34"/>
      <c r="H8" s="34"/>
      <c r="I8" s="32"/>
      <c r="J8" s="39"/>
    </row>
    <row r="9" spans="1:10" ht="18.75" thickBot="1">
      <c r="A9" s="35"/>
      <c r="B9" s="36"/>
      <c r="C9" s="36"/>
      <c r="D9" s="36"/>
      <c r="E9" s="36"/>
      <c r="F9" s="36"/>
      <c r="G9" s="36"/>
      <c r="H9" s="36"/>
      <c r="I9" s="37"/>
      <c r="J9" s="40"/>
    </row>
    <row r="10" spans="1:10" ht="13.5" thickTop="1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5"/>
  <sheetViews>
    <sheetView workbookViewId="0">
      <selection activeCell="A3" sqref="A3"/>
    </sheetView>
  </sheetViews>
  <sheetFormatPr defaultRowHeight="12.75"/>
  <cols>
    <col min="1" max="1" width="22.7109375" bestFit="1" customWidth="1"/>
    <col min="2" max="2" width="22.28515625" customWidth="1"/>
    <col min="3" max="3" width="26.85546875" bestFit="1" customWidth="1"/>
    <col min="4" max="4" width="20.140625" bestFit="1" customWidth="1"/>
    <col min="5" max="1021" width="11.42578125"/>
  </cols>
  <sheetData>
    <row r="1" spans="1:4" ht="30">
      <c r="A1" s="5" t="s">
        <v>167</v>
      </c>
      <c r="B1" s="3" t="s">
        <v>0</v>
      </c>
      <c r="C1" s="3" t="s">
        <v>165</v>
      </c>
      <c r="D1" s="3" t="s">
        <v>166</v>
      </c>
    </row>
    <row r="2" spans="1:4">
      <c r="A2" s="2">
        <v>1</v>
      </c>
      <c r="B2" s="1" t="s">
        <v>162</v>
      </c>
      <c r="C2" s="1" t="s">
        <v>163</v>
      </c>
      <c r="D2" s="1">
        <v>110</v>
      </c>
    </row>
    <row r="3" spans="1:4">
      <c r="A3" s="2">
        <v>2</v>
      </c>
      <c r="B3" s="1" t="s">
        <v>160</v>
      </c>
      <c r="C3" s="1" t="s">
        <v>161</v>
      </c>
      <c r="D3" s="1">
        <v>265</v>
      </c>
    </row>
    <row r="4" spans="1:4">
      <c r="A4" s="2">
        <v>3</v>
      </c>
      <c r="B4" s="1" t="s">
        <v>158</v>
      </c>
      <c r="C4" s="1" t="s">
        <v>159</v>
      </c>
      <c r="D4" s="1">
        <v>530</v>
      </c>
    </row>
    <row r="5" spans="1:4">
      <c r="A5" s="2">
        <v>4</v>
      </c>
      <c r="B5" s="1" t="s">
        <v>156</v>
      </c>
      <c r="C5" s="1" t="s">
        <v>157</v>
      </c>
      <c r="D5" s="1">
        <v>680</v>
      </c>
    </row>
    <row r="6" spans="1:4">
      <c r="A6" s="2">
        <v>5</v>
      </c>
      <c r="B6" s="1" t="s">
        <v>152</v>
      </c>
      <c r="C6" s="1" t="s">
        <v>153</v>
      </c>
      <c r="D6" s="1">
        <v>782</v>
      </c>
    </row>
    <row r="7" spans="1:4">
      <c r="A7" s="2">
        <v>6</v>
      </c>
      <c r="B7" s="1" t="s">
        <v>154</v>
      </c>
      <c r="C7" s="1" t="s">
        <v>155</v>
      </c>
      <c r="D7" s="1">
        <v>782</v>
      </c>
    </row>
    <row r="8" spans="1:4">
      <c r="A8" s="2">
        <v>7</v>
      </c>
      <c r="B8" s="1" t="s">
        <v>150</v>
      </c>
      <c r="C8" s="1" t="s">
        <v>151</v>
      </c>
      <c r="D8" s="1">
        <v>1350</v>
      </c>
    </row>
    <row r="9" spans="1:4">
      <c r="A9" s="2">
        <v>8</v>
      </c>
      <c r="B9" s="1" t="s">
        <v>148</v>
      </c>
      <c r="C9" s="1" t="s">
        <v>149</v>
      </c>
      <c r="D9" s="1">
        <v>1375</v>
      </c>
    </row>
    <row r="10" spans="1:4">
      <c r="A10" s="2">
        <v>9</v>
      </c>
      <c r="B10" s="1" t="s">
        <v>146</v>
      </c>
      <c r="C10" s="1" t="s">
        <v>147</v>
      </c>
      <c r="D10" s="1">
        <v>1405</v>
      </c>
    </row>
    <row r="11" spans="1:4">
      <c r="A11" s="2">
        <v>10</v>
      </c>
      <c r="B11" s="1" t="s">
        <v>144</v>
      </c>
      <c r="C11" s="1" t="s">
        <v>145</v>
      </c>
      <c r="D11" s="1">
        <v>1451</v>
      </c>
    </row>
    <row r="12" spans="1:4">
      <c r="A12" s="2">
        <v>11</v>
      </c>
      <c r="B12" s="1" t="s">
        <v>142</v>
      </c>
      <c r="C12" s="1" t="s">
        <v>143</v>
      </c>
      <c r="D12" s="1">
        <v>1492</v>
      </c>
    </row>
    <row r="13" spans="1:4">
      <c r="A13" s="2">
        <v>12</v>
      </c>
      <c r="B13" s="1" t="s">
        <v>140</v>
      </c>
      <c r="C13" s="1" t="s">
        <v>141</v>
      </c>
      <c r="D13" s="1">
        <v>1575</v>
      </c>
    </row>
    <row r="14" spans="1:4">
      <c r="A14" s="2">
        <v>13</v>
      </c>
      <c r="B14" s="1" t="s">
        <v>138</v>
      </c>
      <c r="C14" s="1" t="s">
        <v>139</v>
      </c>
      <c r="D14" s="1">
        <v>1687</v>
      </c>
    </row>
    <row r="15" spans="1:4">
      <c r="A15" s="2">
        <v>14</v>
      </c>
      <c r="B15" s="1" t="s">
        <v>134</v>
      </c>
      <c r="C15" s="1" t="s">
        <v>135</v>
      </c>
      <c r="D15" s="1">
        <v>1805</v>
      </c>
    </row>
    <row r="16" spans="1:4">
      <c r="A16" s="2">
        <v>15</v>
      </c>
      <c r="B16" s="1" t="s">
        <v>136</v>
      </c>
      <c r="C16" s="1" t="s">
        <v>137</v>
      </c>
      <c r="D16" s="1">
        <v>1805</v>
      </c>
    </row>
    <row r="17" spans="1:4">
      <c r="A17" s="2">
        <v>16</v>
      </c>
      <c r="B17" s="1" t="s">
        <v>132</v>
      </c>
      <c r="C17" s="1" t="s">
        <v>133</v>
      </c>
      <c r="D17" s="1">
        <v>1855</v>
      </c>
    </row>
    <row r="18" spans="1:4">
      <c r="A18" s="2">
        <v>17</v>
      </c>
      <c r="B18" s="1" t="s">
        <v>130</v>
      </c>
      <c r="C18" s="1" t="s">
        <v>131</v>
      </c>
      <c r="D18" s="1">
        <v>1894</v>
      </c>
    </row>
    <row r="19" spans="1:4">
      <c r="A19" s="2">
        <v>18</v>
      </c>
      <c r="B19" s="1" t="s">
        <v>128</v>
      </c>
      <c r="C19" s="1" t="s">
        <v>129</v>
      </c>
      <c r="D19" s="1">
        <v>2074</v>
      </c>
    </row>
    <row r="20" spans="1:4">
      <c r="A20" s="2">
        <v>19</v>
      </c>
      <c r="B20" s="1" t="s">
        <v>61</v>
      </c>
      <c r="C20" s="1" t="s">
        <v>127</v>
      </c>
      <c r="D20" s="1">
        <v>2161</v>
      </c>
    </row>
    <row r="21" spans="1:4">
      <c r="A21" s="2">
        <v>20</v>
      </c>
      <c r="B21" s="1" t="s">
        <v>125</v>
      </c>
      <c r="C21" s="1" t="s">
        <v>126</v>
      </c>
      <c r="D21" s="1">
        <v>2347</v>
      </c>
    </row>
    <row r="22" spans="1:4">
      <c r="A22" s="2">
        <v>21</v>
      </c>
      <c r="B22" s="1" t="s">
        <v>121</v>
      </c>
      <c r="C22" s="1" t="s">
        <v>122</v>
      </c>
      <c r="D22" s="1">
        <v>2390</v>
      </c>
    </row>
    <row r="23" spans="1:4">
      <c r="A23" s="2">
        <v>22</v>
      </c>
      <c r="B23" s="1" t="s">
        <v>123</v>
      </c>
      <c r="C23" s="1" t="s">
        <v>124</v>
      </c>
      <c r="D23" s="1">
        <v>2390</v>
      </c>
    </row>
    <row r="24" spans="1:4">
      <c r="A24" s="2">
        <v>23</v>
      </c>
      <c r="B24" s="1" t="s">
        <v>119</v>
      </c>
      <c r="C24" s="1" t="s">
        <v>120</v>
      </c>
      <c r="D24" s="1">
        <v>2473</v>
      </c>
    </row>
    <row r="25" spans="1:4">
      <c r="A25" s="2">
        <v>24</v>
      </c>
      <c r="B25" s="1" t="s">
        <v>117</v>
      </c>
      <c r="C25" s="1" t="s">
        <v>118</v>
      </c>
      <c r="D25" s="1">
        <v>2562</v>
      </c>
    </row>
    <row r="26" spans="1:4">
      <c r="A26" s="2">
        <v>25</v>
      </c>
      <c r="B26" s="1" t="s">
        <v>115</v>
      </c>
      <c r="C26" s="1" t="s">
        <v>116</v>
      </c>
      <c r="D26" s="1">
        <v>2607</v>
      </c>
    </row>
    <row r="27" spans="1:4">
      <c r="A27" s="2">
        <v>26</v>
      </c>
      <c r="B27" s="1" t="s">
        <v>113</v>
      </c>
      <c r="C27" s="1" t="s">
        <v>114</v>
      </c>
      <c r="D27" s="1">
        <v>2664</v>
      </c>
    </row>
    <row r="28" spans="1:4">
      <c r="A28" s="2">
        <v>27</v>
      </c>
      <c r="B28" s="1" t="s">
        <v>111</v>
      </c>
      <c r="C28" s="1" t="s">
        <v>112</v>
      </c>
      <c r="D28" s="1">
        <v>2703</v>
      </c>
    </row>
    <row r="29" spans="1:4">
      <c r="A29" s="2">
        <v>28</v>
      </c>
      <c r="B29" s="1" t="s">
        <v>109</v>
      </c>
      <c r="C29" s="1" t="s">
        <v>110</v>
      </c>
      <c r="D29" s="1">
        <v>2783</v>
      </c>
    </row>
    <row r="30" spans="1:4">
      <c r="A30" s="2">
        <v>29</v>
      </c>
      <c r="B30" s="1" t="s">
        <v>105</v>
      </c>
      <c r="C30" s="1" t="s">
        <v>106</v>
      </c>
      <c r="D30" s="1">
        <v>2805</v>
      </c>
    </row>
    <row r="31" spans="1:4">
      <c r="A31" s="2">
        <v>30</v>
      </c>
      <c r="B31" s="1" t="s">
        <v>107</v>
      </c>
      <c r="C31" s="1" t="s">
        <v>108</v>
      </c>
      <c r="D31" s="1">
        <v>2805</v>
      </c>
    </row>
    <row r="32" spans="1:4">
      <c r="A32" s="2">
        <v>31</v>
      </c>
      <c r="B32" s="1" t="s">
        <v>103</v>
      </c>
      <c r="C32" s="1" t="s">
        <v>104</v>
      </c>
      <c r="D32" s="1">
        <v>2847</v>
      </c>
    </row>
    <row r="33" spans="1:4">
      <c r="A33" s="2">
        <v>32</v>
      </c>
      <c r="B33" s="1" t="s">
        <v>101</v>
      </c>
      <c r="C33" s="1" t="s">
        <v>102</v>
      </c>
      <c r="D33" s="1">
        <v>2931</v>
      </c>
    </row>
    <row r="34" spans="1:4">
      <c r="A34" s="2">
        <v>33</v>
      </c>
      <c r="B34" s="1" t="s">
        <v>99</v>
      </c>
      <c r="C34" s="1" t="s">
        <v>100</v>
      </c>
      <c r="D34" s="1">
        <v>2948</v>
      </c>
    </row>
    <row r="35" spans="1:4">
      <c r="A35" s="2">
        <v>34</v>
      </c>
      <c r="B35" s="1" t="s">
        <v>93</v>
      </c>
      <c r="C35" s="1" t="s">
        <v>94</v>
      </c>
      <c r="D35" s="1">
        <v>2990</v>
      </c>
    </row>
    <row r="36" spans="1:4">
      <c r="A36" s="2">
        <v>35</v>
      </c>
      <c r="B36" s="1" t="s">
        <v>95</v>
      </c>
      <c r="C36" s="1" t="s">
        <v>96</v>
      </c>
      <c r="D36" s="1">
        <v>2990</v>
      </c>
    </row>
    <row r="37" spans="1:4">
      <c r="A37" s="2">
        <v>36</v>
      </c>
      <c r="B37" s="1" t="s">
        <v>97</v>
      </c>
      <c r="C37" s="1" t="s">
        <v>98</v>
      </c>
      <c r="D37" s="1">
        <v>2990</v>
      </c>
    </row>
    <row r="38" spans="1:4">
      <c r="A38" s="2">
        <v>37</v>
      </c>
      <c r="B38" s="1" t="s">
        <v>91</v>
      </c>
      <c r="C38" s="1" t="s">
        <v>92</v>
      </c>
      <c r="D38" s="1">
        <v>3022</v>
      </c>
    </row>
    <row r="39" spans="1:4">
      <c r="A39" s="2">
        <v>38</v>
      </c>
      <c r="B39" s="1" t="s">
        <v>89</v>
      </c>
      <c r="C39" s="1" t="s">
        <v>90</v>
      </c>
      <c r="D39" s="1">
        <v>3056</v>
      </c>
    </row>
    <row r="40" spans="1:4">
      <c r="A40" s="2">
        <v>39</v>
      </c>
      <c r="B40" s="1" t="s">
        <v>87</v>
      </c>
      <c r="C40" s="1" t="s">
        <v>88</v>
      </c>
      <c r="D40" s="1">
        <v>3111</v>
      </c>
    </row>
    <row r="41" spans="1:4">
      <c r="A41" s="2">
        <v>40</v>
      </c>
      <c r="B41" s="1" t="s">
        <v>85</v>
      </c>
      <c r="C41" s="1" t="s">
        <v>86</v>
      </c>
      <c r="D41" s="1">
        <v>3153</v>
      </c>
    </row>
    <row r="42" spans="1:4">
      <c r="A42" s="2">
        <v>41</v>
      </c>
      <c r="B42" s="1" t="s">
        <v>81</v>
      </c>
      <c r="C42" s="1" t="s">
        <v>82</v>
      </c>
      <c r="D42" s="1">
        <v>3191</v>
      </c>
    </row>
    <row r="43" spans="1:4">
      <c r="A43" s="2">
        <v>42</v>
      </c>
      <c r="B43" s="1" t="s">
        <v>83</v>
      </c>
      <c r="C43" s="1" t="s">
        <v>84</v>
      </c>
      <c r="D43" s="1">
        <v>3191</v>
      </c>
    </row>
    <row r="44" spans="1:4">
      <c r="A44" s="2">
        <v>43</v>
      </c>
      <c r="B44" s="1" t="s">
        <v>77</v>
      </c>
      <c r="C44" s="1" t="s">
        <v>78</v>
      </c>
      <c r="D44" s="1">
        <v>3215</v>
      </c>
    </row>
    <row r="45" spans="1:4">
      <c r="A45" s="2">
        <v>44</v>
      </c>
      <c r="B45" s="1" t="s">
        <v>79</v>
      </c>
      <c r="C45" s="1" t="s">
        <v>80</v>
      </c>
      <c r="D45" s="1">
        <v>3215</v>
      </c>
    </row>
    <row r="46" spans="1:4">
      <c r="A46" s="2">
        <v>45</v>
      </c>
      <c r="B46" s="1" t="s">
        <v>73</v>
      </c>
      <c r="C46" s="1" t="s">
        <v>74</v>
      </c>
      <c r="D46" s="1">
        <v>3302</v>
      </c>
    </row>
    <row r="47" spans="1:4">
      <c r="A47" s="2">
        <v>46</v>
      </c>
      <c r="B47" s="1" t="s">
        <v>75</v>
      </c>
      <c r="C47" s="1" t="s">
        <v>76</v>
      </c>
      <c r="D47" s="1">
        <v>3302</v>
      </c>
    </row>
    <row r="48" spans="1:4">
      <c r="A48" s="2">
        <v>47</v>
      </c>
      <c r="B48" s="1" t="s">
        <v>71</v>
      </c>
      <c r="C48" s="1" t="s">
        <v>72</v>
      </c>
      <c r="D48" s="1">
        <v>3323</v>
      </c>
    </row>
    <row r="49" spans="1:4">
      <c r="A49" s="2">
        <v>48</v>
      </c>
      <c r="B49" s="1" t="s">
        <v>67</v>
      </c>
      <c r="C49" s="1" t="s">
        <v>68</v>
      </c>
      <c r="D49" s="1">
        <v>3355</v>
      </c>
    </row>
    <row r="50" spans="1:4">
      <c r="A50" s="2">
        <v>49</v>
      </c>
      <c r="B50" s="1" t="s">
        <v>69</v>
      </c>
      <c r="C50" s="1" t="s">
        <v>70</v>
      </c>
      <c r="D50" s="1">
        <v>3355</v>
      </c>
    </row>
    <row r="51" spans="1:4">
      <c r="A51" s="2">
        <v>50</v>
      </c>
      <c r="B51" s="1" t="s">
        <v>65</v>
      </c>
      <c r="C51" s="1" t="s">
        <v>66</v>
      </c>
      <c r="D51" s="1">
        <v>3374</v>
      </c>
    </row>
    <row r="52" spans="1:4">
      <c r="A52" s="2">
        <v>51</v>
      </c>
      <c r="B52" s="1" t="s">
        <v>63</v>
      </c>
      <c r="C52" s="1" t="s">
        <v>64</v>
      </c>
      <c r="D52" s="1">
        <v>3472</v>
      </c>
    </row>
    <row r="53" spans="1:4">
      <c r="A53" s="2">
        <v>52</v>
      </c>
      <c r="B53" s="1" t="s">
        <v>61</v>
      </c>
      <c r="C53" s="1" t="s">
        <v>62</v>
      </c>
      <c r="D53" s="1">
        <v>3523</v>
      </c>
    </row>
    <row r="54" spans="1:4">
      <c r="A54" s="2">
        <v>53</v>
      </c>
      <c r="B54" s="1" t="s">
        <v>57</v>
      </c>
      <c r="C54" s="1" t="s">
        <v>58</v>
      </c>
      <c r="D54" s="1">
        <v>3543</v>
      </c>
    </row>
    <row r="55" spans="1:4">
      <c r="A55" s="2">
        <v>54</v>
      </c>
      <c r="B55" s="1" t="s">
        <v>59</v>
      </c>
      <c r="C55" s="1" t="s">
        <v>60</v>
      </c>
      <c r="D55" s="1">
        <v>3543</v>
      </c>
    </row>
    <row r="56" spans="1:4">
      <c r="A56" s="2">
        <v>55</v>
      </c>
      <c r="B56" s="1" t="s">
        <v>55</v>
      </c>
      <c r="C56" s="1" t="s">
        <v>56</v>
      </c>
      <c r="D56" s="1">
        <v>3589</v>
      </c>
    </row>
    <row r="57" spans="1:4">
      <c r="A57" s="2">
        <v>56</v>
      </c>
      <c r="B57" s="1" t="s">
        <v>53</v>
      </c>
      <c r="C57" s="1" t="s">
        <v>54</v>
      </c>
      <c r="D57" s="1">
        <v>3602</v>
      </c>
    </row>
    <row r="58" spans="1:4">
      <c r="A58" s="2">
        <v>57</v>
      </c>
      <c r="B58" s="1" t="s">
        <v>49</v>
      </c>
      <c r="C58" s="1" t="s">
        <v>50</v>
      </c>
      <c r="D58" s="1">
        <v>3654</v>
      </c>
    </row>
    <row r="59" spans="1:4">
      <c r="A59" s="2">
        <v>58</v>
      </c>
      <c r="B59" s="1" t="s">
        <v>51</v>
      </c>
      <c r="C59" s="1" t="s">
        <v>52</v>
      </c>
      <c r="D59" s="1">
        <v>3654</v>
      </c>
    </row>
    <row r="60" spans="1:4">
      <c r="A60" s="2">
        <v>59</v>
      </c>
      <c r="B60" s="1" t="s">
        <v>47</v>
      </c>
      <c r="C60" s="1" t="s">
        <v>48</v>
      </c>
      <c r="D60" s="1">
        <v>3695</v>
      </c>
    </row>
    <row r="61" spans="1:4">
      <c r="A61" s="2">
        <v>60</v>
      </c>
      <c r="B61" s="1" t="s">
        <v>45</v>
      </c>
      <c r="C61" s="1" t="s">
        <v>46</v>
      </c>
      <c r="D61" s="1">
        <v>3714</v>
      </c>
    </row>
    <row r="62" spans="1:4">
      <c r="A62" s="2">
        <v>61</v>
      </c>
      <c r="B62" s="1" t="s">
        <v>43</v>
      </c>
      <c r="C62" s="1" t="s">
        <v>44</v>
      </c>
      <c r="D62" s="1">
        <v>3760</v>
      </c>
    </row>
    <row r="63" spans="1:4">
      <c r="A63" s="2">
        <v>62</v>
      </c>
      <c r="B63" s="1" t="s">
        <v>41</v>
      </c>
      <c r="C63" s="1" t="s">
        <v>42</v>
      </c>
      <c r="D63" s="1">
        <v>3808</v>
      </c>
    </row>
    <row r="64" spans="1:4">
      <c r="A64" s="2">
        <v>63</v>
      </c>
      <c r="B64" s="1" t="s">
        <v>39</v>
      </c>
      <c r="C64" s="1" t="s">
        <v>40</v>
      </c>
      <c r="D64" s="1">
        <v>3836</v>
      </c>
    </row>
    <row r="65" spans="1:4">
      <c r="A65" s="2">
        <v>64</v>
      </c>
      <c r="B65" s="1" t="s">
        <v>37</v>
      </c>
      <c r="C65" s="1" t="s">
        <v>38</v>
      </c>
      <c r="D65" s="1">
        <v>3875</v>
      </c>
    </row>
    <row r="66" spans="1:4">
      <c r="A66" s="2">
        <v>65</v>
      </c>
      <c r="B66" s="1" t="s">
        <v>35</v>
      </c>
      <c r="C66" s="1" t="s">
        <v>36</v>
      </c>
      <c r="D66" s="1">
        <v>3883</v>
      </c>
    </row>
    <row r="67" spans="1:4">
      <c r="A67" s="2">
        <v>66</v>
      </c>
      <c r="B67" s="1" t="s">
        <v>33</v>
      </c>
      <c r="C67" s="1" t="s">
        <v>34</v>
      </c>
      <c r="D67" s="1">
        <v>4000</v>
      </c>
    </row>
    <row r="68" spans="1:4">
      <c r="A68" s="2">
        <v>67</v>
      </c>
      <c r="B68" s="1" t="s">
        <v>31</v>
      </c>
      <c r="C68" s="1" t="s">
        <v>32</v>
      </c>
      <c r="D68" s="1">
        <v>4014</v>
      </c>
    </row>
    <row r="69" spans="1:4">
      <c r="A69" s="2">
        <v>68</v>
      </c>
      <c r="B69" s="1" t="s">
        <v>29</v>
      </c>
      <c r="C69" s="1" t="s">
        <v>30</v>
      </c>
      <c r="D69" s="1">
        <v>4036</v>
      </c>
    </row>
    <row r="70" spans="1:4">
      <c r="A70" s="2">
        <v>69</v>
      </c>
      <c r="B70" s="1" t="s">
        <v>27</v>
      </c>
      <c r="C70" s="1" t="s">
        <v>28</v>
      </c>
      <c r="D70" s="1">
        <v>4074</v>
      </c>
    </row>
    <row r="71" spans="1:4">
      <c r="A71" s="2">
        <v>70</v>
      </c>
      <c r="B71" s="1" t="s">
        <v>25</v>
      </c>
      <c r="C71" s="1" t="s">
        <v>26</v>
      </c>
      <c r="D71" s="1">
        <v>4082</v>
      </c>
    </row>
    <row r="72" spans="1:4">
      <c r="A72" s="2">
        <v>71</v>
      </c>
      <c r="B72" s="1" t="s">
        <v>23</v>
      </c>
      <c r="C72" s="1" t="s">
        <v>24</v>
      </c>
      <c r="D72" s="1">
        <v>4152</v>
      </c>
    </row>
    <row r="73" spans="1:4">
      <c r="A73" s="2">
        <v>72</v>
      </c>
      <c r="B73" s="1" t="s">
        <v>21</v>
      </c>
      <c r="C73" s="1" t="s">
        <v>22</v>
      </c>
      <c r="D73" s="1">
        <v>4170</v>
      </c>
    </row>
    <row r="74" spans="1:4">
      <c r="A74" s="2">
        <v>73</v>
      </c>
      <c r="B74" s="1" t="s">
        <v>19</v>
      </c>
      <c r="C74" s="1" t="s">
        <v>20</v>
      </c>
      <c r="D74" s="1">
        <v>4217</v>
      </c>
    </row>
    <row r="75" spans="1:4">
      <c r="A75" s="2">
        <v>74</v>
      </c>
      <c r="B75" s="1" t="s">
        <v>17</v>
      </c>
      <c r="C75" s="1" t="s">
        <v>18</v>
      </c>
      <c r="D75" s="1">
        <v>4305</v>
      </c>
    </row>
    <row r="76" spans="1:4">
      <c r="A76" s="2">
        <v>75</v>
      </c>
      <c r="B76" s="1" t="s">
        <v>15</v>
      </c>
      <c r="C76" s="1" t="s">
        <v>16</v>
      </c>
      <c r="D76" s="1">
        <v>4316</v>
      </c>
    </row>
    <row r="77" spans="1:4">
      <c r="A77" s="2">
        <v>76</v>
      </c>
      <c r="B77" s="1" t="s">
        <v>13</v>
      </c>
      <c r="C77" s="1" t="s">
        <v>14</v>
      </c>
      <c r="D77" s="1">
        <v>4329</v>
      </c>
    </row>
    <row r="78" spans="1:4">
      <c r="A78" s="2">
        <v>77</v>
      </c>
      <c r="B78" s="1" t="s">
        <v>11</v>
      </c>
      <c r="C78" s="1" t="s">
        <v>12</v>
      </c>
      <c r="D78" s="1">
        <v>4349</v>
      </c>
    </row>
    <row r="79" spans="1:4">
      <c r="A79" s="2">
        <v>78</v>
      </c>
      <c r="B79" s="1" t="s">
        <v>9</v>
      </c>
      <c r="C79" s="1" t="s">
        <v>10</v>
      </c>
      <c r="D79" s="1">
        <v>4376</v>
      </c>
    </row>
    <row r="80" spans="1:4">
      <c r="A80" s="2">
        <v>79</v>
      </c>
      <c r="B80" s="1" t="s">
        <v>7</v>
      </c>
      <c r="C80" s="1" t="s">
        <v>8</v>
      </c>
      <c r="D80" s="1">
        <v>4392</v>
      </c>
    </row>
    <row r="81" spans="1:4">
      <c r="A81" s="2">
        <v>80</v>
      </c>
      <c r="B81" s="1" t="s">
        <v>5</v>
      </c>
      <c r="C81" s="1" t="s">
        <v>6</v>
      </c>
      <c r="D81" s="1">
        <v>4439</v>
      </c>
    </row>
    <row r="82" spans="1:4">
      <c r="A82" s="2">
        <v>81</v>
      </c>
      <c r="B82" s="1" t="s">
        <v>3</v>
      </c>
      <c r="C82" s="1" t="s">
        <v>4</v>
      </c>
      <c r="D82" s="1">
        <v>4442</v>
      </c>
    </row>
    <row r="83" spans="1:4">
      <c r="A83" s="2">
        <v>82</v>
      </c>
      <c r="B83" s="1" t="s">
        <v>1</v>
      </c>
      <c r="C83" s="1" t="s">
        <v>2</v>
      </c>
      <c r="D83" s="1">
        <v>4467</v>
      </c>
    </row>
    <row r="85" spans="1:4">
      <c r="A85" s="4" t="s">
        <v>164</v>
      </c>
      <c r="B85" s="4"/>
      <c r="C85" s="4"/>
      <c r="D85" s="4"/>
    </row>
  </sheetData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36"/>
  <sheetViews>
    <sheetView workbookViewId="0">
      <selection activeCell="K8" sqref="K8"/>
    </sheetView>
  </sheetViews>
  <sheetFormatPr defaultRowHeight="12.75"/>
  <cols>
    <col min="1" max="1" width="6.28515625" bestFit="1" customWidth="1"/>
    <col min="2" max="2" width="36.85546875" bestFit="1" customWidth="1"/>
    <col min="3" max="3" width="23.140625" bestFit="1" customWidth="1"/>
    <col min="4" max="4" width="13.28515625" bestFit="1" customWidth="1"/>
    <col min="5" max="5" width="14.5703125" bestFit="1" customWidth="1"/>
    <col min="6" max="6" width="15.7109375" bestFit="1" customWidth="1"/>
    <col min="7" max="7" width="12.28515625" bestFit="1" customWidth="1"/>
    <col min="8" max="8" width="12.42578125" bestFit="1" customWidth="1"/>
  </cols>
  <sheetData>
    <row r="1" spans="1:9" ht="16.5" thickTop="1" thickBot="1">
      <c r="D1" s="9" t="s">
        <v>181</v>
      </c>
      <c r="E1" s="10"/>
      <c r="F1" s="10"/>
      <c r="G1" s="10"/>
      <c r="H1" s="10"/>
      <c r="I1" s="11"/>
    </row>
    <row r="2" spans="1:9" s="7" customFormat="1" ht="31.5" thickTop="1" thickBot="1">
      <c r="A2" s="12" t="s">
        <v>168</v>
      </c>
      <c r="B2" s="13" t="s">
        <v>220</v>
      </c>
      <c r="C2" s="14" t="s">
        <v>211</v>
      </c>
      <c r="D2" s="13" t="s">
        <v>169</v>
      </c>
      <c r="E2" s="13" t="s">
        <v>170</v>
      </c>
      <c r="F2" s="13" t="s">
        <v>171</v>
      </c>
      <c r="G2" s="13" t="s">
        <v>172</v>
      </c>
      <c r="H2" s="13" t="s">
        <v>173</v>
      </c>
      <c r="I2" s="15" t="s">
        <v>184</v>
      </c>
    </row>
    <row r="3" spans="1:9" ht="15" thickTop="1">
      <c r="A3" s="25">
        <v>1</v>
      </c>
      <c r="B3" s="18" t="s">
        <v>174</v>
      </c>
      <c r="C3" s="18" t="s">
        <v>169</v>
      </c>
      <c r="D3" s="19">
        <v>412000</v>
      </c>
      <c r="E3" s="19">
        <v>481019</v>
      </c>
      <c r="F3" s="19">
        <v>0</v>
      </c>
      <c r="G3" s="19">
        <v>357550</v>
      </c>
      <c r="H3" s="19">
        <v>0</v>
      </c>
      <c r="I3" s="20">
        <f>SUM(Table2[[#This Row],[Youtube]:[Tik Tok]])</f>
        <v>1250569</v>
      </c>
    </row>
    <row r="4" spans="1:9" ht="14.25">
      <c r="A4" s="26">
        <v>2</v>
      </c>
      <c r="B4" s="6" t="s">
        <v>175</v>
      </c>
      <c r="C4" s="6" t="s">
        <v>169</v>
      </c>
      <c r="D4" s="8">
        <v>273000</v>
      </c>
      <c r="E4" s="8">
        <v>0</v>
      </c>
      <c r="F4" s="8">
        <v>0</v>
      </c>
      <c r="G4" s="8">
        <v>217073</v>
      </c>
      <c r="H4" s="8">
        <v>0</v>
      </c>
      <c r="I4" s="21">
        <f>SUM(Table2[[#This Row],[Youtube]:[Tik Tok]])</f>
        <v>490073</v>
      </c>
    </row>
    <row r="5" spans="1:9" ht="14.25">
      <c r="A5" s="26">
        <v>3</v>
      </c>
      <c r="B5" s="6" t="s">
        <v>176</v>
      </c>
      <c r="C5" s="6" t="s">
        <v>169</v>
      </c>
      <c r="D5" s="8">
        <v>149000</v>
      </c>
      <c r="E5" s="8">
        <v>396519</v>
      </c>
      <c r="F5" s="8">
        <v>125727</v>
      </c>
      <c r="G5" s="8">
        <v>173451</v>
      </c>
      <c r="H5" s="8">
        <v>0</v>
      </c>
      <c r="I5" s="21">
        <f>SUM(Table2[[#This Row],[Youtube]:[Tik Tok]])</f>
        <v>844697</v>
      </c>
    </row>
    <row r="6" spans="1:9" ht="14.25">
      <c r="A6" s="26">
        <v>4</v>
      </c>
      <c r="B6" s="6" t="s">
        <v>182</v>
      </c>
      <c r="C6" s="6" t="s">
        <v>169</v>
      </c>
      <c r="D6" s="8">
        <v>363000</v>
      </c>
      <c r="E6" s="8">
        <v>0</v>
      </c>
      <c r="F6" s="8">
        <v>0</v>
      </c>
      <c r="G6" s="8">
        <v>470031</v>
      </c>
      <c r="H6" s="8">
        <v>0</v>
      </c>
      <c r="I6" s="21">
        <f>SUM(Table2[[#This Row],[Youtube]:[Tik Tok]])</f>
        <v>833031</v>
      </c>
    </row>
    <row r="7" spans="1:9" ht="14.25">
      <c r="A7" s="26">
        <v>5</v>
      </c>
      <c r="B7" s="6" t="s">
        <v>177</v>
      </c>
      <c r="C7" s="6" t="s">
        <v>169</v>
      </c>
      <c r="D7" s="8">
        <v>213000</v>
      </c>
      <c r="E7" s="8">
        <v>0</v>
      </c>
      <c r="F7" s="8">
        <v>0</v>
      </c>
      <c r="G7" s="8">
        <v>0</v>
      </c>
      <c r="H7" s="8">
        <v>0</v>
      </c>
      <c r="I7" s="21">
        <f>SUM(Table2[[#This Row],[Youtube]:[Tik Tok]])</f>
        <v>213000</v>
      </c>
    </row>
    <row r="8" spans="1:9" ht="14.25">
      <c r="A8" s="26">
        <v>6</v>
      </c>
      <c r="B8" s="6" t="s">
        <v>183</v>
      </c>
      <c r="C8" s="6" t="s">
        <v>169</v>
      </c>
      <c r="D8" s="8">
        <v>1220000</v>
      </c>
      <c r="E8" s="8">
        <v>0</v>
      </c>
      <c r="F8" s="8">
        <v>0</v>
      </c>
      <c r="G8" s="8">
        <v>0</v>
      </c>
      <c r="H8" s="8">
        <v>0</v>
      </c>
      <c r="I8" s="21">
        <f>SUM(Table2[[#This Row],[Youtube]:[Tik Tok]])</f>
        <v>1220000</v>
      </c>
    </row>
    <row r="9" spans="1:9" ht="14.25">
      <c r="A9" s="26">
        <v>7</v>
      </c>
      <c r="B9" s="6" t="s">
        <v>178</v>
      </c>
      <c r="C9" s="6" t="s">
        <v>169</v>
      </c>
      <c r="D9" s="8">
        <v>806000</v>
      </c>
      <c r="E9" s="8">
        <v>932000</v>
      </c>
      <c r="F9" s="8">
        <v>652635</v>
      </c>
      <c r="G9" s="8">
        <v>3004913</v>
      </c>
      <c r="H9" s="8">
        <v>67400</v>
      </c>
      <c r="I9" s="21">
        <f>SUM(Table2[[#This Row],[Youtube]:[Tik Tok]])</f>
        <v>5462948</v>
      </c>
    </row>
    <row r="10" spans="1:9" ht="14.25">
      <c r="A10" s="26">
        <v>8</v>
      </c>
      <c r="B10" s="6" t="s">
        <v>179</v>
      </c>
      <c r="C10" s="6" t="s">
        <v>169</v>
      </c>
      <c r="D10" s="8">
        <v>1690000</v>
      </c>
      <c r="E10" s="8">
        <v>1672683</v>
      </c>
      <c r="F10" s="8">
        <v>2556951</v>
      </c>
      <c r="G10" s="8">
        <v>453909</v>
      </c>
      <c r="H10" s="8">
        <v>0</v>
      </c>
      <c r="I10" s="21">
        <f>SUM(Table2[[#This Row],[Youtube]:[Tik Tok]])</f>
        <v>6373543</v>
      </c>
    </row>
    <row r="11" spans="1:9" ht="15" thickBot="1">
      <c r="A11" s="27">
        <v>9</v>
      </c>
      <c r="B11" s="22" t="s">
        <v>180</v>
      </c>
      <c r="C11" s="22" t="s">
        <v>169</v>
      </c>
      <c r="D11" s="23">
        <v>160000</v>
      </c>
      <c r="E11" s="23">
        <v>242268</v>
      </c>
      <c r="F11" s="23">
        <v>0</v>
      </c>
      <c r="G11" s="23">
        <v>237963</v>
      </c>
      <c r="H11" s="23">
        <v>0</v>
      </c>
      <c r="I11" s="24">
        <f>SUM(Table2[[#This Row],[Youtube]:[Tik Tok]])</f>
        <v>640231</v>
      </c>
    </row>
    <row r="12" spans="1:9" ht="15" thickTop="1">
      <c r="A12" s="25">
        <v>1</v>
      </c>
      <c r="B12" s="18" t="s">
        <v>185</v>
      </c>
      <c r="C12" s="18" t="s">
        <v>186</v>
      </c>
      <c r="D12" s="19">
        <v>0</v>
      </c>
      <c r="E12" s="19">
        <v>0</v>
      </c>
      <c r="F12" s="19">
        <v>159511</v>
      </c>
      <c r="G12" s="19">
        <v>247547</v>
      </c>
      <c r="H12" s="19">
        <v>0</v>
      </c>
      <c r="I12" s="20">
        <f>SUM(Table2[[#This Row],[Youtube]:[Tik Tok]])</f>
        <v>407058</v>
      </c>
    </row>
    <row r="13" spans="1:9" ht="14.25">
      <c r="A13" s="26">
        <v>2</v>
      </c>
      <c r="B13" s="6" t="s">
        <v>187</v>
      </c>
      <c r="C13" s="6" t="s">
        <v>186</v>
      </c>
      <c r="D13" s="8">
        <v>0</v>
      </c>
      <c r="E13" s="8">
        <v>0</v>
      </c>
      <c r="F13" s="8">
        <v>0</v>
      </c>
      <c r="G13" s="8">
        <v>113437</v>
      </c>
      <c r="H13" s="8">
        <v>0</v>
      </c>
      <c r="I13" s="21">
        <f>SUM(Table2[[#This Row],[Youtube]:[Tik Tok]])</f>
        <v>113437</v>
      </c>
    </row>
    <row r="14" spans="1:9" ht="14.25">
      <c r="A14" s="26">
        <v>3</v>
      </c>
      <c r="B14" s="6" t="s">
        <v>188</v>
      </c>
      <c r="C14" s="6" t="s">
        <v>186</v>
      </c>
      <c r="D14" s="8">
        <v>0</v>
      </c>
      <c r="E14" s="8">
        <v>331395</v>
      </c>
      <c r="F14" s="8">
        <v>1091947</v>
      </c>
      <c r="G14" s="8">
        <v>2332992</v>
      </c>
      <c r="H14" s="8">
        <v>0</v>
      </c>
      <c r="I14" s="21">
        <f>SUM(Table2[[#This Row],[Youtube]:[Tik Tok]])</f>
        <v>3756334</v>
      </c>
    </row>
    <row r="15" spans="1:9" ht="14.25">
      <c r="A15" s="26">
        <v>4</v>
      </c>
      <c r="B15" s="6" t="s">
        <v>189</v>
      </c>
      <c r="C15" s="6" t="s">
        <v>186</v>
      </c>
      <c r="D15" s="8">
        <v>0</v>
      </c>
      <c r="E15" s="8">
        <v>0</v>
      </c>
      <c r="F15" s="8">
        <v>0</v>
      </c>
      <c r="G15" s="8">
        <v>863969</v>
      </c>
      <c r="H15" s="8">
        <v>0</v>
      </c>
      <c r="I15" s="21">
        <f>SUM(Table2[[#This Row],[Youtube]:[Tik Tok]])</f>
        <v>863969</v>
      </c>
    </row>
    <row r="16" spans="1:9" ht="14.25">
      <c r="A16" s="26">
        <v>5</v>
      </c>
      <c r="B16" s="6" t="s">
        <v>190</v>
      </c>
      <c r="C16" s="6" t="s">
        <v>186</v>
      </c>
      <c r="D16" s="8">
        <v>0</v>
      </c>
      <c r="E16" s="8">
        <v>0</v>
      </c>
      <c r="F16" s="8">
        <v>0</v>
      </c>
      <c r="G16" s="8">
        <v>88591</v>
      </c>
      <c r="H16" s="8">
        <v>0</v>
      </c>
      <c r="I16" s="21">
        <f>SUM(Table2[[#This Row],[Youtube]:[Tik Tok]])</f>
        <v>88591</v>
      </c>
    </row>
    <row r="17" spans="1:9" ht="14.25">
      <c r="A17" s="26">
        <v>6</v>
      </c>
      <c r="B17" s="6" t="s">
        <v>191</v>
      </c>
      <c r="C17" s="6" t="s">
        <v>186</v>
      </c>
      <c r="D17" s="8">
        <v>0</v>
      </c>
      <c r="E17" s="8">
        <v>0</v>
      </c>
      <c r="F17" s="8">
        <v>0</v>
      </c>
      <c r="G17" s="8">
        <v>304421</v>
      </c>
      <c r="H17" s="8">
        <v>0</v>
      </c>
      <c r="I17" s="21">
        <f>SUM(Table2[[#This Row],[Youtube]:[Tik Tok]])</f>
        <v>304421</v>
      </c>
    </row>
    <row r="18" spans="1:9" ht="14.25">
      <c r="A18" s="26">
        <v>7</v>
      </c>
      <c r="B18" s="6" t="s">
        <v>192</v>
      </c>
      <c r="C18" s="6" t="s">
        <v>186</v>
      </c>
      <c r="D18" s="8">
        <v>0</v>
      </c>
      <c r="E18" s="8">
        <v>0</v>
      </c>
      <c r="F18" s="8">
        <v>0</v>
      </c>
      <c r="G18" s="8">
        <v>101302</v>
      </c>
      <c r="H18" s="8">
        <v>0</v>
      </c>
      <c r="I18" s="21">
        <f>SUM(Table2[[#This Row],[Youtube]:[Tik Tok]])</f>
        <v>101302</v>
      </c>
    </row>
    <row r="19" spans="1:9" ht="14.25">
      <c r="A19" s="26">
        <v>8</v>
      </c>
      <c r="B19" s="6" t="s">
        <v>193</v>
      </c>
      <c r="C19" s="6" t="s">
        <v>186</v>
      </c>
      <c r="D19" s="8">
        <v>0</v>
      </c>
      <c r="E19" s="8">
        <v>0</v>
      </c>
      <c r="F19" s="8">
        <v>0</v>
      </c>
      <c r="G19" s="8">
        <v>54843</v>
      </c>
      <c r="H19" s="8">
        <v>0</v>
      </c>
      <c r="I19" s="21">
        <f>SUM(Table2[[#This Row],[Youtube]:[Tik Tok]])</f>
        <v>54843</v>
      </c>
    </row>
    <row r="20" spans="1:9" ht="14.25">
      <c r="A20" s="26">
        <v>9</v>
      </c>
      <c r="B20" s="6" t="s">
        <v>194</v>
      </c>
      <c r="C20" s="6" t="s">
        <v>186</v>
      </c>
      <c r="D20" s="8">
        <v>0</v>
      </c>
      <c r="E20" s="8">
        <v>0</v>
      </c>
      <c r="F20" s="8">
        <v>0</v>
      </c>
      <c r="G20" s="8">
        <v>120712</v>
      </c>
      <c r="H20" s="8">
        <v>0</v>
      </c>
      <c r="I20" s="21">
        <f>SUM(Table2[[#This Row],[Youtube]:[Tik Tok]])</f>
        <v>120712</v>
      </c>
    </row>
    <row r="21" spans="1:9" ht="15" thickBot="1">
      <c r="A21" s="27">
        <v>10</v>
      </c>
      <c r="B21" s="22" t="s">
        <v>195</v>
      </c>
      <c r="C21" s="22" t="s">
        <v>186</v>
      </c>
      <c r="D21" s="23">
        <v>0</v>
      </c>
      <c r="E21" s="23">
        <v>0</v>
      </c>
      <c r="F21" s="23">
        <v>0</v>
      </c>
      <c r="G21" s="23">
        <v>1675042</v>
      </c>
      <c r="H21" s="23">
        <v>0</v>
      </c>
      <c r="I21" s="24">
        <f>SUM(Table2[[#This Row],[Youtube]:[Tik Tok]])</f>
        <v>1675042</v>
      </c>
    </row>
    <row r="22" spans="1:9" ht="15" thickTop="1">
      <c r="A22" s="25">
        <v>1</v>
      </c>
      <c r="B22" s="18" t="s">
        <v>197</v>
      </c>
      <c r="C22" s="18" t="s">
        <v>196</v>
      </c>
      <c r="D22" s="19">
        <v>0</v>
      </c>
      <c r="E22" s="19">
        <v>0</v>
      </c>
      <c r="F22" s="19">
        <v>107123</v>
      </c>
      <c r="G22" s="19">
        <v>146177</v>
      </c>
      <c r="H22" s="19">
        <v>184000</v>
      </c>
      <c r="I22" s="20">
        <f>SUM(Table2[[#This Row],[Youtube]:[Tik Tok]])</f>
        <v>437300</v>
      </c>
    </row>
    <row r="23" spans="1:9" ht="14.25">
      <c r="A23" s="26">
        <v>2</v>
      </c>
      <c r="B23" s="6" t="s">
        <v>198</v>
      </c>
      <c r="C23" s="6" t="s">
        <v>196</v>
      </c>
      <c r="D23" s="8">
        <v>0</v>
      </c>
      <c r="E23" s="8">
        <v>0</v>
      </c>
      <c r="F23" s="8">
        <v>0</v>
      </c>
      <c r="G23" s="8">
        <v>0</v>
      </c>
      <c r="H23" s="8">
        <v>160400</v>
      </c>
      <c r="I23" s="21">
        <f>SUM(Table2[[#This Row],[Youtube]:[Tik Tok]])</f>
        <v>160400</v>
      </c>
    </row>
    <row r="24" spans="1:9" ht="14.25">
      <c r="A24" s="26">
        <v>3</v>
      </c>
      <c r="B24" s="6" t="s">
        <v>199</v>
      </c>
      <c r="C24" s="6" t="s">
        <v>196</v>
      </c>
      <c r="D24" s="8">
        <v>0</v>
      </c>
      <c r="E24" s="8">
        <v>0</v>
      </c>
      <c r="F24" s="8">
        <v>0</v>
      </c>
      <c r="G24" s="8">
        <v>0</v>
      </c>
      <c r="H24" s="8">
        <v>249700</v>
      </c>
      <c r="I24" s="21">
        <f>SUM(Table2[[#This Row],[Youtube]:[Tik Tok]])</f>
        <v>249700</v>
      </c>
    </row>
    <row r="25" spans="1:9" ht="14.25">
      <c r="A25" s="26">
        <v>4</v>
      </c>
      <c r="B25" s="6" t="s">
        <v>200</v>
      </c>
      <c r="C25" s="6" t="s">
        <v>196</v>
      </c>
      <c r="D25" s="8">
        <v>0</v>
      </c>
      <c r="E25" s="8">
        <v>0</v>
      </c>
      <c r="F25" s="8">
        <v>0</v>
      </c>
      <c r="G25" s="8">
        <v>0</v>
      </c>
      <c r="H25" s="8">
        <v>120900</v>
      </c>
      <c r="I25" s="21">
        <f>SUM(Table2[[#This Row],[Youtube]:[Tik Tok]])</f>
        <v>120900</v>
      </c>
    </row>
    <row r="26" spans="1:9" ht="15" thickBot="1">
      <c r="A26" s="27">
        <v>5</v>
      </c>
      <c r="B26" s="22" t="s">
        <v>201</v>
      </c>
      <c r="C26" s="22" t="s">
        <v>196</v>
      </c>
      <c r="D26" s="23">
        <v>0</v>
      </c>
      <c r="E26" s="23">
        <v>0</v>
      </c>
      <c r="F26" s="23">
        <v>0</v>
      </c>
      <c r="G26" s="23">
        <v>0</v>
      </c>
      <c r="H26" s="23">
        <v>62800</v>
      </c>
      <c r="I26" s="24">
        <f>SUM(Table2[[#This Row],[Youtube]:[Tik Tok]])</f>
        <v>62800</v>
      </c>
    </row>
    <row r="27" spans="1:9" ht="15" thickTop="1">
      <c r="A27" s="25">
        <v>1</v>
      </c>
      <c r="B27" s="18" t="s">
        <v>202</v>
      </c>
      <c r="C27" s="18" t="s">
        <v>170</v>
      </c>
      <c r="D27" s="19">
        <v>0</v>
      </c>
      <c r="E27" s="19">
        <v>4790366</v>
      </c>
      <c r="F27" s="19">
        <v>0</v>
      </c>
      <c r="G27" s="19">
        <v>3390622</v>
      </c>
      <c r="H27" s="19">
        <v>0</v>
      </c>
      <c r="I27" s="20">
        <f>SUM(Table2[[#This Row],[Youtube]:[Tik Tok]])</f>
        <v>8180988</v>
      </c>
    </row>
    <row r="28" spans="1:9" ht="14.25">
      <c r="A28" s="26">
        <v>2</v>
      </c>
      <c r="B28" s="6" t="s">
        <v>203</v>
      </c>
      <c r="C28" s="6" t="s">
        <v>170</v>
      </c>
      <c r="D28" s="8">
        <v>0</v>
      </c>
      <c r="E28" s="8">
        <v>109430</v>
      </c>
      <c r="F28" s="8">
        <v>0</v>
      </c>
      <c r="G28" s="8">
        <v>0</v>
      </c>
      <c r="H28" s="8">
        <v>0</v>
      </c>
      <c r="I28" s="21">
        <f>SUM(Table2[[#This Row],[Youtube]:[Tik Tok]])</f>
        <v>109430</v>
      </c>
    </row>
    <row r="29" spans="1:9" ht="14.25">
      <c r="A29" s="26">
        <v>3</v>
      </c>
      <c r="B29" s="6" t="s">
        <v>204</v>
      </c>
      <c r="C29" s="6" t="s">
        <v>170</v>
      </c>
      <c r="D29" s="8">
        <v>0</v>
      </c>
      <c r="E29" s="8">
        <v>242000</v>
      </c>
      <c r="F29" s="8">
        <v>0</v>
      </c>
      <c r="G29" s="8">
        <v>0</v>
      </c>
      <c r="H29" s="8">
        <v>0</v>
      </c>
      <c r="I29" s="21">
        <f>SUM(Table2[[#This Row],[Youtube]:[Tik Tok]])</f>
        <v>242000</v>
      </c>
    </row>
    <row r="30" spans="1:9" ht="14.25">
      <c r="A30" s="26">
        <v>4</v>
      </c>
      <c r="B30" s="6" t="s">
        <v>205</v>
      </c>
      <c r="C30" s="6" t="s">
        <v>170</v>
      </c>
      <c r="D30" s="8">
        <v>73700</v>
      </c>
      <c r="E30" s="8">
        <v>256000</v>
      </c>
      <c r="F30" s="8">
        <v>0</v>
      </c>
      <c r="G30" s="8">
        <v>0</v>
      </c>
      <c r="H30" s="8">
        <v>0</v>
      </c>
      <c r="I30" s="21">
        <f>SUM(Table2[[#This Row],[Youtube]:[Tik Tok]])</f>
        <v>329700</v>
      </c>
    </row>
    <row r="31" spans="1:9" ht="14.25">
      <c r="A31" s="26">
        <v>5</v>
      </c>
      <c r="B31" s="6" t="s">
        <v>206</v>
      </c>
      <c r="C31" s="6" t="s">
        <v>170</v>
      </c>
      <c r="D31" s="8">
        <v>0</v>
      </c>
      <c r="E31" s="8">
        <v>787000</v>
      </c>
      <c r="F31" s="8">
        <v>291101</v>
      </c>
      <c r="G31" s="8">
        <v>85960</v>
      </c>
      <c r="H31" s="8">
        <v>0</v>
      </c>
      <c r="I31" s="21">
        <f>SUM(Table2[[#This Row],[Youtube]:[Tik Tok]])</f>
        <v>1164061</v>
      </c>
    </row>
    <row r="32" spans="1:9" ht="14.25">
      <c r="A32" s="26">
        <v>6</v>
      </c>
      <c r="B32" s="6" t="s">
        <v>207</v>
      </c>
      <c r="C32" s="6" t="s">
        <v>170</v>
      </c>
      <c r="D32" s="8">
        <v>1150000</v>
      </c>
      <c r="E32" s="8">
        <v>648165</v>
      </c>
      <c r="F32" s="8">
        <v>0</v>
      </c>
      <c r="G32" s="8">
        <v>0</v>
      </c>
      <c r="H32" s="8">
        <v>0</v>
      </c>
      <c r="I32" s="21">
        <f>SUM(Table2[[#This Row],[Youtube]:[Tik Tok]])</f>
        <v>1798165</v>
      </c>
    </row>
    <row r="33" spans="1:9" ht="15" thickBot="1">
      <c r="A33" s="27">
        <v>7</v>
      </c>
      <c r="B33" s="22" t="s">
        <v>208</v>
      </c>
      <c r="C33" s="22" t="s">
        <v>170</v>
      </c>
      <c r="D33" s="23">
        <v>0</v>
      </c>
      <c r="E33" s="23">
        <v>331000</v>
      </c>
      <c r="F33" s="23">
        <v>0</v>
      </c>
      <c r="G33" s="23">
        <v>0</v>
      </c>
      <c r="H33" s="23">
        <v>0</v>
      </c>
      <c r="I33" s="24">
        <f>SUM(Table2[[#This Row],[Youtube]:[Tik Tok]])</f>
        <v>331000</v>
      </c>
    </row>
    <row r="34" spans="1:9" ht="15" thickTop="1">
      <c r="A34" s="25">
        <v>1</v>
      </c>
      <c r="B34" s="18" t="s">
        <v>209</v>
      </c>
      <c r="C34" s="18" t="s">
        <v>171</v>
      </c>
      <c r="D34" s="19">
        <v>0</v>
      </c>
      <c r="E34" s="19">
        <v>0</v>
      </c>
      <c r="F34" s="19">
        <v>1260908</v>
      </c>
      <c r="G34" s="19">
        <v>462892</v>
      </c>
      <c r="H34" s="19">
        <v>0</v>
      </c>
      <c r="I34" s="20">
        <f>SUM(Table2[[#This Row],[Youtube]:[Tik Tok]])</f>
        <v>1723800</v>
      </c>
    </row>
    <row r="35" spans="1:9" ht="15" thickBot="1">
      <c r="A35" s="27">
        <v>2</v>
      </c>
      <c r="B35" s="22" t="s">
        <v>210</v>
      </c>
      <c r="C35" s="22" t="s">
        <v>171</v>
      </c>
      <c r="D35" s="23">
        <v>0</v>
      </c>
      <c r="E35" s="23">
        <v>74000</v>
      </c>
      <c r="F35" s="23">
        <v>364544</v>
      </c>
      <c r="G35" s="23">
        <v>61230</v>
      </c>
      <c r="H35" s="23">
        <v>0</v>
      </c>
      <c r="I35" s="24">
        <f>SUM(Table2[[#This Row],[Youtube]:[Tik Tok]])</f>
        <v>499774</v>
      </c>
    </row>
    <row r="36" spans="1:9" ht="13.5" thickTop="1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Propuesta de Codificacion</vt:lpstr>
      <vt:lpstr>MEDIA TRADICIONAL</vt:lpstr>
      <vt:lpstr>RRSS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SCImago Lab</dc:creator>
  <cp:lastModifiedBy>RAW</cp:lastModifiedBy>
  <cp:revision>0</cp:revision>
  <dcterms:created xsi:type="dcterms:W3CDTF">2025-10-11T22:49:13Z</dcterms:created>
  <dcterms:modified xsi:type="dcterms:W3CDTF">2025-10-12T13:42:49Z</dcterms:modified>
</cp:coreProperties>
</file>